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Luis\Documents\"/>
    </mc:Choice>
  </mc:AlternateContent>
  <xr:revisionPtr revIDLastSave="0" documentId="13_ncr:1_{415FCAE2-BC9B-4242-916E-88E4695A9FA1}" xr6:coauthVersionLast="46" xr6:coauthVersionMax="46" xr10:uidLastSave="{00000000-0000-0000-0000-000000000000}"/>
  <bookViews>
    <workbookView xWindow="-120" yWindow="-120" windowWidth="29040" windowHeight="16440" xr2:uid="{AE782B49-687E-4F9B-A4FD-830391289685}"/>
  </bookViews>
  <sheets>
    <sheet name="Register 0x1E" sheetId="2" r:id="rId1"/>
    <sheet name="Register 0x1d" sheetId="3" r:id="rId2"/>
    <sheet name="LoRaModem Specs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K5" i="2"/>
  <c r="K6" i="2"/>
  <c r="K7" i="2"/>
  <c r="K8" i="2"/>
  <c r="K9" i="2"/>
  <c r="J5" i="2"/>
  <c r="J6" i="2"/>
  <c r="J7" i="2"/>
  <c r="J8" i="2"/>
  <c r="J9" i="2"/>
  <c r="J36" i="3"/>
  <c r="L36" i="3" s="1"/>
  <c r="J35" i="3"/>
  <c r="L35" i="3" s="1"/>
  <c r="J34" i="3"/>
  <c r="K34" i="3" s="1"/>
  <c r="J33" i="3"/>
  <c r="L33" i="3" s="1"/>
  <c r="J32" i="3"/>
  <c r="L32" i="3" s="1"/>
  <c r="J27" i="3"/>
  <c r="L27" i="3" s="1"/>
  <c r="J26" i="3"/>
  <c r="L26" i="3" s="1"/>
  <c r="J25" i="3"/>
  <c r="L25" i="3" s="1"/>
  <c r="J24" i="3"/>
  <c r="L24" i="3" s="1"/>
  <c r="J23" i="3"/>
  <c r="L23" i="3" s="1"/>
  <c r="J18" i="3"/>
  <c r="K18" i="3" s="1"/>
  <c r="J17" i="3"/>
  <c r="L17" i="3" s="1"/>
  <c r="J16" i="3"/>
  <c r="K16" i="3" s="1"/>
  <c r="J15" i="3"/>
  <c r="L15" i="3" s="1"/>
  <c r="J14" i="3"/>
  <c r="L14" i="3" s="1"/>
  <c r="J6" i="3"/>
  <c r="K6" i="3" s="1"/>
  <c r="J7" i="3"/>
  <c r="L7" i="3" s="1"/>
  <c r="J8" i="3"/>
  <c r="L8" i="3" s="1"/>
  <c r="J9" i="3"/>
  <c r="L9" i="3" s="1"/>
  <c r="J5" i="3"/>
  <c r="L5" i="3" s="1"/>
  <c r="J4" i="2"/>
  <c r="L4" i="2" s="1"/>
  <c r="L6" i="3" l="1"/>
  <c r="K9" i="3"/>
  <c r="K7" i="3"/>
  <c r="K8" i="3"/>
  <c r="L34" i="3"/>
  <c r="K32" i="3"/>
  <c r="K35" i="3"/>
  <c r="K33" i="3"/>
  <c r="K36" i="3"/>
  <c r="K25" i="3"/>
  <c r="K26" i="3"/>
  <c r="K23" i="3"/>
  <c r="K24" i="3"/>
  <c r="K27" i="3"/>
  <c r="L16" i="3"/>
  <c r="K14" i="3"/>
  <c r="K17" i="3"/>
  <c r="L18" i="3"/>
  <c r="K15" i="3"/>
  <c r="K5" i="3"/>
  <c r="K4" i="2"/>
</calcChain>
</file>

<file path=xl/sharedStrings.xml><?xml version="1.0" encoding="utf-8"?>
<sst xmlns="http://schemas.openxmlformats.org/spreadsheetml/2006/main" count="82" uniqueCount="29">
  <si>
    <t xml:space="preserve">Hex </t>
  </si>
  <si>
    <t>Dec</t>
  </si>
  <si>
    <t>Bin</t>
  </si>
  <si>
    <t>SymbTimeout(9:8)</t>
  </si>
  <si>
    <t>RxPayloadCrcOn</t>
  </si>
  <si>
    <t>SpreadingFactor</t>
  </si>
  <si>
    <t>Bit 1</t>
  </si>
  <si>
    <t>Bit 2</t>
  </si>
  <si>
    <t>Bit 5</t>
  </si>
  <si>
    <t>Bit 6</t>
  </si>
  <si>
    <t>Bit0</t>
  </si>
  <si>
    <t>Bit 3</t>
  </si>
  <si>
    <t>Bit4</t>
  </si>
  <si>
    <t xml:space="preserve">Bit7 </t>
  </si>
  <si>
    <t>BW (Khz)</t>
  </si>
  <si>
    <t xml:space="preserve">Bandwith </t>
  </si>
  <si>
    <t>CodingRate=4/8</t>
  </si>
  <si>
    <t>CodingRate=4/7</t>
  </si>
  <si>
    <t>CodingRate=4/6</t>
  </si>
  <si>
    <t>CodingRate=4/5</t>
  </si>
  <si>
    <t>Description</t>
  </si>
  <si>
    <t>Tx Cont Mode</t>
  </si>
  <si>
    <t>SF8</t>
  </si>
  <si>
    <t>SF9</t>
  </si>
  <si>
    <t>SF10</t>
  </si>
  <si>
    <t>SF11</t>
  </si>
  <si>
    <t>SF12</t>
  </si>
  <si>
    <t>SF7</t>
  </si>
  <si>
    <t>Implict Header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</si>
</sst>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Border="1"/>
    <xf numFmtId="0" fontId="0" fillId="2" borderId="11" xfId="0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13</xdr:row>
      <xdr:rowOff>0</xdr:rowOff>
    </xdr:from>
    <xdr:to>
      <xdr:col>10</xdr:col>
      <xdr:colOff>132350</xdr:colOff>
      <xdr:row>32</xdr:row>
      <xdr:rowOff>56690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F2A45-D1A5-446A-881B-7424678A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514600"/>
          <a:ext cx="8000000" cy="36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290046</xdr:colOff>
      <xdr:row>1</xdr:row>
      <xdr:rowOff>179917</xdr:rowOff>
    </xdr:from>
    <xdr:to>
      <xdr:col>28</xdr:col>
      <xdr:colOff>563151</xdr:colOff>
      <xdr:row>31</xdr:row>
      <xdr:rowOff>169334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EF6C7-11D7-4FCB-9EE6-3932EC13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2879" y="370417"/>
          <a:ext cx="10094439" cy="5863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12</xdr:col>
      <xdr:colOff>561006</xdr:colOff>
      <xdr:row>15</xdr:row>
      <xdr:rowOff>142512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2B2E1-8950-415D-8D10-5534DD37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95250"/>
          <a:ext cx="7752381" cy="2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85725</xdr:rowOff>
    </xdr:from>
    <xdr:to>
      <xdr:col>13</xdr:col>
      <xdr:colOff>6218</xdr:colOff>
      <xdr:row>38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F0739E-0E91-41F6-AA14-AED0F7EF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3725"/>
          <a:ext cx="7931018" cy="4181475"/>
        </a:xfrm>
        <a:prstGeom prst="rect">
          <a:avLst/>
        </a:prstGeom>
      </xdr:spPr>
    </xdr:pic>
    <xdr:clientData/>
  </xdr:twoCellAnchor>
  <xdr:twoCellAnchor editAs="oneCell">
    <xdr:from>
      <xdr:col>12</xdr:col>
      <xdr:colOff>581025</xdr:colOff>
      <xdr:row>0</xdr:row>
      <xdr:rowOff>0</xdr:rowOff>
    </xdr:from>
    <xdr:to>
      <xdr:col>26</xdr:col>
      <xdr:colOff>170434</xdr:colOff>
      <xdr:row>20</xdr:row>
      <xdr:rowOff>190000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486439-C908-4669-8FAD-B84658A5F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96225" y="0"/>
          <a:ext cx="8123809" cy="4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552450</xdr:colOff>
      <xdr:row>21</xdr:row>
      <xdr:rowOff>38100</xdr:rowOff>
    </xdr:from>
    <xdr:to>
      <xdr:col>26</xdr:col>
      <xdr:colOff>322812</xdr:colOff>
      <xdr:row>51</xdr:row>
      <xdr:rowOff>65957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B03BC0-67EA-4B4B-AABE-C36DC35A8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7650" y="4038600"/>
          <a:ext cx="8304762" cy="5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</xdr:row>
      <xdr:rowOff>76200</xdr:rowOff>
    </xdr:from>
    <xdr:to>
      <xdr:col>13</xdr:col>
      <xdr:colOff>83859</xdr:colOff>
      <xdr:row>46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471968-89A4-41E4-8EB2-AF82AD0CF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7505700"/>
          <a:ext cx="8008658" cy="1323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47625</xdr:rowOff>
    </xdr:from>
    <xdr:to>
      <xdr:col>13</xdr:col>
      <xdr:colOff>102145</xdr:colOff>
      <xdr:row>74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850AB5-B4C7-40E7-BBE5-31645AA85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810625"/>
          <a:ext cx="8026945" cy="543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4189-9344-4205-809C-160F7540B322}">
  <dimension ref="A1:L11"/>
  <sheetViews>
    <sheetView tabSelected="1" workbookViewId="0">
      <selection activeCell="L4" sqref="L4"/>
    </sheetView>
  </sheetViews>
  <sheetFormatPr defaultRowHeight="15" x14ac:dyDescent="0.25"/>
  <cols>
    <col min="1" max="1" width="13.28515625" customWidth="1"/>
    <col min="3" max="3" width="10.42578125" customWidth="1"/>
    <col min="4" max="4" width="10" customWidth="1"/>
    <col min="5" max="5" width="9.7109375" customWidth="1"/>
    <col min="6" max="6" width="16.7109375" customWidth="1"/>
    <col min="7" max="7" width="19.5703125" customWidth="1"/>
    <col min="9" max="9" width="10.7109375" customWidth="1"/>
    <col min="10" max="10" width="12.42578125" customWidth="1"/>
    <col min="11" max="11" width="12.5703125" customWidth="1"/>
    <col min="13" max="13" width="26.28515625" customWidth="1"/>
  </cols>
  <sheetData>
    <row r="1" spans="1:12" ht="15.75" thickBot="1" x14ac:dyDescent="0.3">
      <c r="B1" s="1">
        <v>8</v>
      </c>
      <c r="C1" s="1">
        <v>4</v>
      </c>
      <c r="D1" s="1">
        <v>2</v>
      </c>
      <c r="E1" s="1">
        <v>1</v>
      </c>
    </row>
    <row r="2" spans="1:12" ht="15.75" thickBot="1" x14ac:dyDescent="0.3">
      <c r="B2" s="31" t="s">
        <v>5</v>
      </c>
      <c r="C2" s="32"/>
      <c r="D2" s="32"/>
      <c r="E2" s="33"/>
      <c r="F2" s="8" t="s">
        <v>21</v>
      </c>
      <c r="G2" s="8" t="s">
        <v>4</v>
      </c>
      <c r="H2" s="31" t="s">
        <v>3</v>
      </c>
      <c r="I2" s="33"/>
    </row>
    <row r="3" spans="1:12" ht="15.75" thickBot="1" x14ac:dyDescent="0.3">
      <c r="A3" s="25" t="s">
        <v>20</v>
      </c>
      <c r="B3" s="5" t="s">
        <v>13</v>
      </c>
      <c r="C3" s="8" t="s">
        <v>9</v>
      </c>
      <c r="D3" s="6" t="s">
        <v>8</v>
      </c>
      <c r="E3" s="8" t="s">
        <v>12</v>
      </c>
      <c r="F3" s="6" t="s">
        <v>11</v>
      </c>
      <c r="G3" s="8" t="s">
        <v>7</v>
      </c>
      <c r="H3" s="8" t="s">
        <v>6</v>
      </c>
      <c r="I3" s="7" t="s">
        <v>10</v>
      </c>
      <c r="J3" s="5" t="s">
        <v>2</v>
      </c>
      <c r="K3" s="20" t="s">
        <v>0</v>
      </c>
      <c r="L3" s="8" t="s">
        <v>1</v>
      </c>
    </row>
    <row r="4" spans="1:12" x14ac:dyDescent="0.25">
      <c r="A4" s="26" t="s">
        <v>27</v>
      </c>
      <c r="B4" s="19">
        <v>0</v>
      </c>
      <c r="C4" s="19">
        <v>1</v>
      </c>
      <c r="D4" s="27">
        <v>1</v>
      </c>
      <c r="E4" s="19">
        <v>1</v>
      </c>
      <c r="F4" s="27">
        <v>0</v>
      </c>
      <c r="G4" s="19">
        <v>1</v>
      </c>
      <c r="H4" s="27">
        <v>0</v>
      </c>
      <c r="I4" s="19">
        <v>0</v>
      </c>
      <c r="J4" s="27" t="str">
        <f>_xlfn.CONCAT(B4:I4)</f>
        <v>01110100</v>
      </c>
      <c r="K4" s="19" t="str">
        <f>BIN2HEX(J4)</f>
        <v>74</v>
      </c>
      <c r="L4" s="28">
        <f>BIN2DEC(J4)</f>
        <v>116</v>
      </c>
    </row>
    <row r="5" spans="1:12" x14ac:dyDescent="0.25">
      <c r="A5" s="29" t="s">
        <v>22</v>
      </c>
      <c r="B5" s="17">
        <v>1</v>
      </c>
      <c r="C5" s="17">
        <v>0</v>
      </c>
      <c r="D5" s="11">
        <v>0</v>
      </c>
      <c r="E5" s="17">
        <v>0</v>
      </c>
      <c r="F5" s="11">
        <v>0</v>
      </c>
      <c r="G5" s="17">
        <v>1</v>
      </c>
      <c r="H5" s="11">
        <v>0</v>
      </c>
      <c r="I5" s="17">
        <v>0</v>
      </c>
      <c r="J5" s="11" t="str">
        <f t="shared" ref="J5:J9" si="0">_xlfn.CONCAT(B5:I5)</f>
        <v>10000100</v>
      </c>
      <c r="K5" s="17" t="str">
        <f t="shared" ref="K5:K9" si="1">BIN2HEX(J5)</f>
        <v>84</v>
      </c>
      <c r="L5" s="12">
        <f t="shared" ref="L5:L9" si="2">BIN2DEC(J5)</f>
        <v>132</v>
      </c>
    </row>
    <row r="6" spans="1:12" x14ac:dyDescent="0.25">
      <c r="A6" s="29" t="s">
        <v>23</v>
      </c>
      <c r="B6" s="17">
        <v>1</v>
      </c>
      <c r="C6" s="17">
        <v>0</v>
      </c>
      <c r="D6" s="11">
        <v>0</v>
      </c>
      <c r="E6" s="17">
        <v>1</v>
      </c>
      <c r="F6" s="11">
        <v>0</v>
      </c>
      <c r="G6" s="17">
        <v>1</v>
      </c>
      <c r="H6" s="11">
        <v>0</v>
      </c>
      <c r="I6" s="17">
        <v>0</v>
      </c>
      <c r="J6" s="11" t="str">
        <f t="shared" si="0"/>
        <v>10010100</v>
      </c>
      <c r="K6" s="17" t="str">
        <f t="shared" si="1"/>
        <v>94</v>
      </c>
      <c r="L6" s="12">
        <f t="shared" si="2"/>
        <v>148</v>
      </c>
    </row>
    <row r="7" spans="1:12" x14ac:dyDescent="0.25">
      <c r="A7" s="29" t="s">
        <v>24</v>
      </c>
      <c r="B7" s="17">
        <v>1</v>
      </c>
      <c r="C7" s="17">
        <v>0</v>
      </c>
      <c r="D7" s="11">
        <v>1</v>
      </c>
      <c r="E7" s="17">
        <v>0</v>
      </c>
      <c r="F7" s="11">
        <v>0</v>
      </c>
      <c r="G7" s="17">
        <v>1</v>
      </c>
      <c r="H7" s="11">
        <v>0</v>
      </c>
      <c r="I7" s="17">
        <v>0</v>
      </c>
      <c r="J7" s="11" t="str">
        <f t="shared" si="0"/>
        <v>10100100</v>
      </c>
      <c r="K7" s="17" t="str">
        <f t="shared" si="1"/>
        <v>A4</v>
      </c>
      <c r="L7" s="12">
        <f t="shared" si="2"/>
        <v>164</v>
      </c>
    </row>
    <row r="8" spans="1:12" x14ac:dyDescent="0.25">
      <c r="A8" s="29" t="s">
        <v>25</v>
      </c>
      <c r="B8" s="17">
        <v>1</v>
      </c>
      <c r="C8" s="17">
        <v>0</v>
      </c>
      <c r="D8" s="11">
        <v>1</v>
      </c>
      <c r="E8" s="17">
        <v>1</v>
      </c>
      <c r="F8" s="11">
        <v>0</v>
      </c>
      <c r="G8" s="17">
        <v>1</v>
      </c>
      <c r="H8" s="11">
        <v>0</v>
      </c>
      <c r="I8" s="17">
        <v>0</v>
      </c>
      <c r="J8" s="11" t="str">
        <f t="shared" si="0"/>
        <v>10110100</v>
      </c>
      <c r="K8" s="17" t="str">
        <f t="shared" si="1"/>
        <v>B4</v>
      </c>
      <c r="L8" s="12">
        <f t="shared" si="2"/>
        <v>180</v>
      </c>
    </row>
    <row r="9" spans="1:12" ht="15.75" thickBot="1" x14ac:dyDescent="0.3">
      <c r="A9" s="30" t="s">
        <v>26</v>
      </c>
      <c r="B9" s="18">
        <v>1</v>
      </c>
      <c r="C9" s="18">
        <v>1</v>
      </c>
      <c r="D9" s="14">
        <v>0</v>
      </c>
      <c r="E9" s="18">
        <v>0</v>
      </c>
      <c r="F9" s="14">
        <v>0</v>
      </c>
      <c r="G9" s="18">
        <v>1</v>
      </c>
      <c r="H9" s="14">
        <v>0</v>
      </c>
      <c r="I9" s="18">
        <v>0</v>
      </c>
      <c r="J9" s="14" t="str">
        <f t="shared" si="0"/>
        <v>11000100</v>
      </c>
      <c r="K9" s="18" t="str">
        <f t="shared" si="1"/>
        <v>C4</v>
      </c>
      <c r="L9" s="15">
        <f t="shared" si="2"/>
        <v>196</v>
      </c>
    </row>
    <row r="10" spans="1:12" x14ac:dyDescent="0.25">
      <c r="B10" s="1"/>
      <c r="C10" s="1"/>
      <c r="D10" s="1"/>
      <c r="E10" s="1"/>
    </row>
    <row r="11" spans="1:12" x14ac:dyDescent="0.25">
      <c r="B11" s="1"/>
      <c r="C11" s="1"/>
      <c r="D11" s="1"/>
      <c r="E11" s="1"/>
    </row>
  </sheetData>
  <mergeCells count="2">
    <mergeCell ref="B2:E2"/>
    <mergeCell ref="H2:I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24F7-01F0-4950-86C0-21B736281587}">
  <dimension ref="A1:P36"/>
  <sheetViews>
    <sheetView zoomScale="90" zoomScaleNormal="90" workbookViewId="0">
      <selection activeCell="S10" sqref="S10:S11"/>
    </sheetView>
  </sheetViews>
  <sheetFormatPr defaultRowHeight="15" x14ac:dyDescent="0.25"/>
  <cols>
    <col min="1" max="1" width="9.7109375" customWidth="1"/>
    <col min="2" max="2" width="7.28515625" customWidth="1"/>
    <col min="3" max="3" width="6.85546875" customWidth="1"/>
    <col min="4" max="4" width="8.28515625" customWidth="1"/>
    <col min="5" max="5" width="9.140625" customWidth="1"/>
    <col min="6" max="6" width="8.85546875" customWidth="1"/>
    <col min="7" max="7" width="8.7109375" customWidth="1"/>
    <col min="8" max="8" width="9.140625" customWidth="1"/>
    <col min="9" max="9" width="17.85546875" customWidth="1"/>
    <col min="10" max="10" width="12.42578125" customWidth="1"/>
    <col min="11" max="11" width="10.140625" customWidth="1"/>
  </cols>
  <sheetData>
    <row r="1" spans="1:12" x14ac:dyDescent="0.25">
      <c r="F1" s="1"/>
      <c r="G1" s="1"/>
      <c r="H1" s="1"/>
      <c r="I1" s="1"/>
    </row>
    <row r="2" spans="1:12" ht="15.75" thickBot="1" x14ac:dyDescent="0.3">
      <c r="B2" s="1"/>
      <c r="C2" s="1"/>
      <c r="D2" s="1"/>
      <c r="E2" s="1"/>
      <c r="F2" s="1"/>
      <c r="G2" s="1"/>
      <c r="H2" s="1"/>
      <c r="I2" s="1"/>
    </row>
    <row r="3" spans="1:12" ht="15.75" thickBot="1" x14ac:dyDescent="0.3">
      <c r="A3" s="9"/>
      <c r="B3" s="31" t="s">
        <v>15</v>
      </c>
      <c r="C3" s="32"/>
      <c r="D3" s="34"/>
      <c r="E3" s="35"/>
      <c r="F3" s="42" t="s">
        <v>19</v>
      </c>
      <c r="G3" s="43"/>
      <c r="H3" s="44"/>
      <c r="I3" s="7" t="s">
        <v>28</v>
      </c>
      <c r="J3" s="2"/>
      <c r="K3" s="2"/>
      <c r="L3" s="3"/>
    </row>
    <row r="4" spans="1:12" ht="15.75" thickBot="1" x14ac:dyDescent="0.3">
      <c r="A4" s="16" t="s">
        <v>14</v>
      </c>
      <c r="B4" s="8" t="s">
        <v>13</v>
      </c>
      <c r="C4" s="7" t="s">
        <v>9</v>
      </c>
      <c r="D4" s="6" t="s">
        <v>8</v>
      </c>
      <c r="E4" s="8" t="s">
        <v>12</v>
      </c>
      <c r="F4" s="6" t="s">
        <v>11</v>
      </c>
      <c r="G4" s="8" t="s">
        <v>7</v>
      </c>
      <c r="H4" s="8" t="s">
        <v>6</v>
      </c>
      <c r="I4" s="7" t="s">
        <v>10</v>
      </c>
      <c r="J4" s="5" t="s">
        <v>2</v>
      </c>
      <c r="K4" s="20" t="s">
        <v>0</v>
      </c>
      <c r="L4" s="7" t="s">
        <v>1</v>
      </c>
    </row>
    <row r="5" spans="1:12" x14ac:dyDescent="0.25">
      <c r="A5" s="10">
        <v>31.25</v>
      </c>
      <c r="B5" s="17">
        <v>0</v>
      </c>
      <c r="C5" s="11">
        <v>1</v>
      </c>
      <c r="D5" s="19">
        <v>0</v>
      </c>
      <c r="E5" s="11">
        <v>0</v>
      </c>
      <c r="F5" s="19">
        <v>0</v>
      </c>
      <c r="G5" s="11">
        <v>0</v>
      </c>
      <c r="H5" s="19">
        <v>1</v>
      </c>
      <c r="I5" s="19">
        <v>0</v>
      </c>
      <c r="J5" s="19" t="str">
        <f>_xlfn.CONCAT(B5:I5)</f>
        <v>01000010</v>
      </c>
      <c r="K5" s="19" t="str">
        <f>BIN2HEX(J5)</f>
        <v>42</v>
      </c>
      <c r="L5" s="12">
        <f>BIN2DEC(J5)</f>
        <v>66</v>
      </c>
    </row>
    <row r="6" spans="1:12" x14ac:dyDescent="0.25">
      <c r="A6" s="10">
        <v>41.7</v>
      </c>
      <c r="B6" s="17">
        <v>0</v>
      </c>
      <c r="C6" s="11">
        <v>1</v>
      </c>
      <c r="D6" s="17">
        <v>0</v>
      </c>
      <c r="E6" s="11">
        <v>1</v>
      </c>
      <c r="F6" s="17">
        <v>0</v>
      </c>
      <c r="G6" s="11">
        <v>0</v>
      </c>
      <c r="H6" s="17">
        <v>1</v>
      </c>
      <c r="I6" s="17">
        <v>0</v>
      </c>
      <c r="J6" s="17" t="str">
        <f t="shared" ref="J6:J9" si="0">_xlfn.CONCAT(B6:I6)</f>
        <v>01010010</v>
      </c>
      <c r="K6" s="17" t="str">
        <f t="shared" ref="K6:K9" si="1">BIN2HEX(J6)</f>
        <v>52</v>
      </c>
      <c r="L6" s="12">
        <f t="shared" ref="L6:L9" si="2">BIN2DEC(J6)</f>
        <v>82</v>
      </c>
    </row>
    <row r="7" spans="1:12" x14ac:dyDescent="0.25">
      <c r="A7" s="10">
        <v>62.5</v>
      </c>
      <c r="B7" s="17">
        <v>0</v>
      </c>
      <c r="C7" s="11">
        <v>1</v>
      </c>
      <c r="D7" s="17">
        <v>1</v>
      </c>
      <c r="E7" s="11">
        <v>0</v>
      </c>
      <c r="F7" s="17">
        <v>0</v>
      </c>
      <c r="G7" s="11">
        <v>0</v>
      </c>
      <c r="H7" s="17">
        <v>1</v>
      </c>
      <c r="I7" s="17">
        <v>0</v>
      </c>
      <c r="J7" s="17" t="str">
        <f t="shared" si="0"/>
        <v>01100010</v>
      </c>
      <c r="K7" s="17" t="str">
        <f t="shared" si="1"/>
        <v>62</v>
      </c>
      <c r="L7" s="12">
        <f t="shared" si="2"/>
        <v>98</v>
      </c>
    </row>
    <row r="8" spans="1:12" x14ac:dyDescent="0.25">
      <c r="A8" s="10">
        <v>125</v>
      </c>
      <c r="B8" s="17">
        <v>0</v>
      </c>
      <c r="C8" s="11">
        <v>1</v>
      </c>
      <c r="D8" s="17">
        <v>1</v>
      </c>
      <c r="E8" s="11">
        <v>1</v>
      </c>
      <c r="F8" s="17">
        <v>0</v>
      </c>
      <c r="G8" s="11">
        <v>0</v>
      </c>
      <c r="H8" s="17">
        <v>1</v>
      </c>
      <c r="I8" s="17">
        <v>0</v>
      </c>
      <c r="J8" s="17" t="str">
        <f t="shared" si="0"/>
        <v>01110010</v>
      </c>
      <c r="K8" s="17" t="str">
        <f t="shared" si="1"/>
        <v>72</v>
      </c>
      <c r="L8" s="12">
        <f t="shared" si="2"/>
        <v>114</v>
      </c>
    </row>
    <row r="9" spans="1:12" ht="15.75" thickBot="1" x14ac:dyDescent="0.3">
      <c r="A9" s="13">
        <v>250</v>
      </c>
      <c r="B9" s="18">
        <v>1</v>
      </c>
      <c r="C9" s="14">
        <v>0</v>
      </c>
      <c r="D9" s="18">
        <v>0</v>
      </c>
      <c r="E9" s="14">
        <v>0</v>
      </c>
      <c r="F9" s="18">
        <v>0</v>
      </c>
      <c r="G9" s="14">
        <v>0</v>
      </c>
      <c r="H9" s="18">
        <v>1</v>
      </c>
      <c r="I9" s="22">
        <v>0</v>
      </c>
      <c r="J9" s="18" t="str">
        <f t="shared" si="0"/>
        <v>10000010</v>
      </c>
      <c r="K9" s="18" t="str">
        <f t="shared" si="1"/>
        <v>82</v>
      </c>
      <c r="L9" s="15">
        <f t="shared" si="2"/>
        <v>130</v>
      </c>
    </row>
    <row r="10" spans="1:1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5.75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75" thickBot="1" x14ac:dyDescent="0.3">
      <c r="A12" s="9"/>
      <c r="B12" s="31" t="s">
        <v>15</v>
      </c>
      <c r="C12" s="32"/>
      <c r="D12" s="34"/>
      <c r="E12" s="35"/>
      <c r="F12" s="45" t="s">
        <v>18</v>
      </c>
      <c r="G12" s="46"/>
      <c r="H12" s="47"/>
      <c r="I12" s="7" t="s">
        <v>28</v>
      </c>
      <c r="J12" s="2"/>
      <c r="K12" s="2"/>
      <c r="L12" s="3"/>
    </row>
    <row r="13" spans="1:12" ht="15.75" thickBot="1" x14ac:dyDescent="0.3">
      <c r="A13" s="4" t="s">
        <v>14</v>
      </c>
      <c r="B13" s="5" t="s">
        <v>13</v>
      </c>
      <c r="C13" s="8" t="s">
        <v>9</v>
      </c>
      <c r="D13" s="6" t="s">
        <v>8</v>
      </c>
      <c r="E13" s="8" t="s">
        <v>12</v>
      </c>
      <c r="F13" s="6" t="s">
        <v>11</v>
      </c>
      <c r="G13" s="8" t="s">
        <v>7</v>
      </c>
      <c r="H13" s="8" t="s">
        <v>6</v>
      </c>
      <c r="I13" s="7" t="s">
        <v>10</v>
      </c>
      <c r="J13" s="5" t="s">
        <v>2</v>
      </c>
      <c r="K13" s="20" t="s">
        <v>0</v>
      </c>
      <c r="L13" s="7" t="s">
        <v>1</v>
      </c>
    </row>
    <row r="14" spans="1:12" x14ac:dyDescent="0.25">
      <c r="A14" s="10">
        <v>31.25</v>
      </c>
      <c r="B14" s="19">
        <v>0</v>
      </c>
      <c r="C14" s="11">
        <v>1</v>
      </c>
      <c r="D14" s="19">
        <v>0</v>
      </c>
      <c r="E14" s="19">
        <v>0</v>
      </c>
      <c r="F14" s="19">
        <v>0</v>
      </c>
      <c r="G14" s="19">
        <v>1</v>
      </c>
      <c r="H14" s="19">
        <v>0</v>
      </c>
      <c r="I14" s="19">
        <v>0</v>
      </c>
      <c r="J14" s="11" t="str">
        <f>_xlfn.CONCAT(B14:I14)</f>
        <v>01000100</v>
      </c>
      <c r="K14" s="19" t="str">
        <f>BIN2HEX(J14)</f>
        <v>44</v>
      </c>
      <c r="L14" s="12">
        <f>BIN2DEC(J14)</f>
        <v>68</v>
      </c>
    </row>
    <row r="15" spans="1:12" x14ac:dyDescent="0.25">
      <c r="A15" s="10">
        <v>41.7</v>
      </c>
      <c r="B15" s="17">
        <v>0</v>
      </c>
      <c r="C15" s="11">
        <v>1</v>
      </c>
      <c r="D15" s="17">
        <v>0</v>
      </c>
      <c r="E15" s="17">
        <v>1</v>
      </c>
      <c r="F15" s="17">
        <v>0</v>
      </c>
      <c r="G15" s="17">
        <v>1</v>
      </c>
      <c r="H15" s="17">
        <v>0</v>
      </c>
      <c r="I15" s="17">
        <v>0</v>
      </c>
      <c r="J15" s="11" t="str">
        <f t="shared" ref="J15:J18" si="3">_xlfn.CONCAT(B15:I15)</f>
        <v>01010100</v>
      </c>
      <c r="K15" s="17" t="str">
        <f t="shared" ref="K15:K18" si="4">BIN2HEX(J15)</f>
        <v>54</v>
      </c>
      <c r="L15" s="12">
        <f t="shared" ref="L15:L18" si="5">BIN2DEC(J15)</f>
        <v>84</v>
      </c>
    </row>
    <row r="16" spans="1:12" x14ac:dyDescent="0.25">
      <c r="A16" s="10">
        <v>62.5</v>
      </c>
      <c r="B16" s="17">
        <v>0</v>
      </c>
      <c r="C16" s="11">
        <v>1</v>
      </c>
      <c r="D16" s="17">
        <v>1</v>
      </c>
      <c r="E16" s="17">
        <v>0</v>
      </c>
      <c r="F16" s="17">
        <v>0</v>
      </c>
      <c r="G16" s="17">
        <v>1</v>
      </c>
      <c r="H16" s="17">
        <v>0</v>
      </c>
      <c r="I16" s="17">
        <v>0</v>
      </c>
      <c r="J16" s="11" t="str">
        <f t="shared" si="3"/>
        <v>01100100</v>
      </c>
      <c r="K16" s="24" t="str">
        <f t="shared" si="4"/>
        <v>64</v>
      </c>
      <c r="L16" s="12">
        <f t="shared" si="5"/>
        <v>100</v>
      </c>
    </row>
    <row r="17" spans="1:16" x14ac:dyDescent="0.25">
      <c r="A17" s="10">
        <v>125</v>
      </c>
      <c r="B17" s="17">
        <v>0</v>
      </c>
      <c r="C17" s="11">
        <v>1</v>
      </c>
      <c r="D17" s="17">
        <v>1</v>
      </c>
      <c r="E17" s="17">
        <v>1</v>
      </c>
      <c r="F17" s="17">
        <v>0</v>
      </c>
      <c r="G17" s="17">
        <v>1</v>
      </c>
      <c r="H17" s="17">
        <v>0</v>
      </c>
      <c r="I17" s="17">
        <v>0</v>
      </c>
      <c r="J17" s="11" t="str">
        <f t="shared" si="3"/>
        <v>01110100</v>
      </c>
      <c r="K17" s="17" t="str">
        <f t="shared" si="4"/>
        <v>74</v>
      </c>
      <c r="L17" s="12">
        <f t="shared" si="5"/>
        <v>116</v>
      </c>
    </row>
    <row r="18" spans="1:16" ht="15.75" thickBot="1" x14ac:dyDescent="0.3">
      <c r="A18" s="13">
        <v>250</v>
      </c>
      <c r="B18" s="18">
        <v>1</v>
      </c>
      <c r="C18" s="14">
        <v>0</v>
      </c>
      <c r="D18" s="18">
        <v>0</v>
      </c>
      <c r="E18" s="18">
        <v>0</v>
      </c>
      <c r="F18" s="18">
        <v>0</v>
      </c>
      <c r="G18" s="18">
        <v>1</v>
      </c>
      <c r="H18" s="18">
        <v>0</v>
      </c>
      <c r="I18" s="22">
        <v>0</v>
      </c>
      <c r="J18" s="14" t="str">
        <f t="shared" si="3"/>
        <v>10000100</v>
      </c>
      <c r="K18" s="18" t="str">
        <f t="shared" si="4"/>
        <v>84</v>
      </c>
      <c r="L18" s="15">
        <f t="shared" si="5"/>
        <v>132</v>
      </c>
    </row>
    <row r="20" spans="1:16" ht="15.75" thickBot="1" x14ac:dyDescent="0.3"/>
    <row r="21" spans="1:16" ht="15.75" thickBot="1" x14ac:dyDescent="0.3">
      <c r="A21" s="9"/>
      <c r="B21" s="31" t="s">
        <v>15</v>
      </c>
      <c r="C21" s="32"/>
      <c r="D21" s="34"/>
      <c r="E21" s="35"/>
      <c r="F21" s="36" t="s">
        <v>17</v>
      </c>
      <c r="G21" s="37"/>
      <c r="H21" s="38"/>
      <c r="I21" s="7" t="s">
        <v>28</v>
      </c>
      <c r="J21" s="2"/>
      <c r="K21" s="2"/>
      <c r="L21" s="3"/>
    </row>
    <row r="22" spans="1:16" ht="15.75" thickBot="1" x14ac:dyDescent="0.3">
      <c r="A22" s="4" t="s">
        <v>14</v>
      </c>
      <c r="B22" s="5" t="s">
        <v>13</v>
      </c>
      <c r="C22" s="8" t="s">
        <v>9</v>
      </c>
      <c r="D22" s="6" t="s">
        <v>8</v>
      </c>
      <c r="E22" s="8" t="s">
        <v>12</v>
      </c>
      <c r="F22" s="6" t="s">
        <v>11</v>
      </c>
      <c r="G22" s="8" t="s">
        <v>7</v>
      </c>
      <c r="H22" s="8" t="s">
        <v>6</v>
      </c>
      <c r="I22" s="7" t="s">
        <v>10</v>
      </c>
      <c r="J22" s="5" t="s">
        <v>2</v>
      </c>
      <c r="K22" s="20" t="s">
        <v>0</v>
      </c>
      <c r="L22" s="7" t="s">
        <v>1</v>
      </c>
    </row>
    <row r="23" spans="1:16" x14ac:dyDescent="0.25">
      <c r="A23" s="10">
        <v>31.25</v>
      </c>
      <c r="B23" s="19">
        <v>0</v>
      </c>
      <c r="C23" s="19">
        <v>1</v>
      </c>
      <c r="D23" s="11">
        <v>0</v>
      </c>
      <c r="E23" s="19">
        <v>0</v>
      </c>
      <c r="F23" s="11">
        <v>0</v>
      </c>
      <c r="G23" s="19">
        <v>1</v>
      </c>
      <c r="H23" s="11">
        <v>1</v>
      </c>
      <c r="I23" s="19">
        <v>0</v>
      </c>
      <c r="J23" s="11" t="str">
        <f>_xlfn.CONCAT(B23:I23)</f>
        <v>01000110</v>
      </c>
      <c r="K23" s="19" t="str">
        <f>BIN2HEX(J23)</f>
        <v>46</v>
      </c>
      <c r="L23" s="12">
        <f>BIN2DEC(J23)</f>
        <v>70</v>
      </c>
    </row>
    <row r="24" spans="1:16" x14ac:dyDescent="0.25">
      <c r="A24" s="10">
        <v>41.7</v>
      </c>
      <c r="B24" s="17">
        <v>0</v>
      </c>
      <c r="C24" s="17">
        <v>1</v>
      </c>
      <c r="D24" s="11">
        <v>0</v>
      </c>
      <c r="E24" s="17">
        <v>1</v>
      </c>
      <c r="F24" s="11">
        <v>0</v>
      </c>
      <c r="G24" s="17">
        <v>1</v>
      </c>
      <c r="H24" s="11">
        <v>1</v>
      </c>
      <c r="I24" s="17">
        <v>0</v>
      </c>
      <c r="J24" s="11" t="str">
        <f t="shared" ref="J24:J27" si="6">_xlfn.CONCAT(B24:I24)</f>
        <v>01010110</v>
      </c>
      <c r="K24" s="17" t="str">
        <f t="shared" ref="K24:K27" si="7">BIN2HEX(J24)</f>
        <v>56</v>
      </c>
      <c r="L24" s="12">
        <f t="shared" ref="L24:L27" si="8">BIN2DEC(J24)</f>
        <v>86</v>
      </c>
      <c r="P24" s="11"/>
    </row>
    <row r="25" spans="1:16" x14ac:dyDescent="0.25">
      <c r="A25" s="10">
        <v>62.5</v>
      </c>
      <c r="B25" s="17">
        <v>0</v>
      </c>
      <c r="C25" s="17">
        <v>1</v>
      </c>
      <c r="D25" s="11">
        <v>1</v>
      </c>
      <c r="E25" s="17">
        <v>0</v>
      </c>
      <c r="F25" s="11">
        <v>0</v>
      </c>
      <c r="G25" s="17">
        <v>1</v>
      </c>
      <c r="H25" s="11">
        <v>1</v>
      </c>
      <c r="I25" s="17">
        <v>0</v>
      </c>
      <c r="J25" s="11" t="str">
        <f t="shared" si="6"/>
        <v>01100110</v>
      </c>
      <c r="K25" s="17" t="str">
        <f t="shared" si="7"/>
        <v>66</v>
      </c>
      <c r="L25" s="12">
        <f t="shared" si="8"/>
        <v>102</v>
      </c>
      <c r="P25" s="11"/>
    </row>
    <row r="26" spans="1:16" x14ac:dyDescent="0.25">
      <c r="A26" s="10">
        <v>125</v>
      </c>
      <c r="B26" s="17">
        <v>0</v>
      </c>
      <c r="C26" s="17">
        <v>1</v>
      </c>
      <c r="D26" s="11">
        <v>1</v>
      </c>
      <c r="E26" s="17">
        <v>1</v>
      </c>
      <c r="F26" s="11">
        <v>0</v>
      </c>
      <c r="G26" s="17">
        <v>1</v>
      </c>
      <c r="H26" s="11">
        <v>1</v>
      </c>
      <c r="I26" s="17">
        <v>0</v>
      </c>
      <c r="J26" s="11" t="str">
        <f t="shared" si="6"/>
        <v>01110110</v>
      </c>
      <c r="K26" s="17" t="str">
        <f t="shared" si="7"/>
        <v>76</v>
      </c>
      <c r="L26" s="12">
        <f t="shared" si="8"/>
        <v>118</v>
      </c>
      <c r="P26" s="11"/>
    </row>
    <row r="27" spans="1:16" ht="15.75" thickBot="1" x14ac:dyDescent="0.3">
      <c r="A27" s="13">
        <v>250</v>
      </c>
      <c r="B27" s="18">
        <v>1</v>
      </c>
      <c r="C27" s="18">
        <v>0</v>
      </c>
      <c r="D27" s="14">
        <v>0</v>
      </c>
      <c r="E27" s="18">
        <v>0</v>
      </c>
      <c r="F27" s="14">
        <v>0</v>
      </c>
      <c r="G27" s="18">
        <v>1</v>
      </c>
      <c r="H27" s="14">
        <v>1</v>
      </c>
      <c r="I27" s="22">
        <v>0</v>
      </c>
      <c r="J27" s="14" t="str">
        <f t="shared" si="6"/>
        <v>10000110</v>
      </c>
      <c r="K27" s="18" t="str">
        <f t="shared" si="7"/>
        <v>86</v>
      </c>
      <c r="L27" s="15">
        <f t="shared" si="8"/>
        <v>134</v>
      </c>
      <c r="P27" s="11"/>
    </row>
    <row r="28" spans="1:16" x14ac:dyDescent="0.25">
      <c r="P28" s="21"/>
    </row>
    <row r="29" spans="1:16" ht="15.75" thickBot="1" x14ac:dyDescent="0.3"/>
    <row r="30" spans="1:16" ht="15.75" thickBot="1" x14ac:dyDescent="0.3">
      <c r="A30" s="23"/>
      <c r="B30" s="31" t="s">
        <v>15</v>
      </c>
      <c r="C30" s="32"/>
      <c r="D30" s="34"/>
      <c r="E30" s="35"/>
      <c r="F30" s="39" t="s">
        <v>16</v>
      </c>
      <c r="G30" s="40"/>
      <c r="H30" s="41"/>
      <c r="I30" s="7" t="s">
        <v>28</v>
      </c>
      <c r="J30" s="2"/>
      <c r="K30" s="2"/>
      <c r="L30" s="3"/>
    </row>
    <row r="31" spans="1:16" ht="15.75" thickBot="1" x14ac:dyDescent="0.3">
      <c r="A31" s="4" t="s">
        <v>14</v>
      </c>
      <c r="B31" s="5" t="s">
        <v>13</v>
      </c>
      <c r="C31" s="8" t="s">
        <v>9</v>
      </c>
      <c r="D31" s="6" t="s">
        <v>8</v>
      </c>
      <c r="E31" s="8" t="s">
        <v>12</v>
      </c>
      <c r="F31" s="6" t="s">
        <v>11</v>
      </c>
      <c r="G31" s="8" t="s">
        <v>7</v>
      </c>
      <c r="H31" s="8" t="s">
        <v>6</v>
      </c>
      <c r="I31" s="7" t="s">
        <v>10</v>
      </c>
      <c r="J31" s="5" t="s">
        <v>2</v>
      </c>
      <c r="K31" s="20" t="s">
        <v>0</v>
      </c>
      <c r="L31" s="7" t="s">
        <v>1</v>
      </c>
    </row>
    <row r="32" spans="1:16" x14ac:dyDescent="0.25">
      <c r="A32" s="10">
        <v>31.25</v>
      </c>
      <c r="B32" s="19">
        <v>0</v>
      </c>
      <c r="C32" s="19">
        <v>1</v>
      </c>
      <c r="D32" s="11">
        <v>0</v>
      </c>
      <c r="E32" s="19">
        <v>0</v>
      </c>
      <c r="F32" s="19">
        <v>1</v>
      </c>
      <c r="G32" s="11">
        <v>0</v>
      </c>
      <c r="H32" s="11">
        <v>0</v>
      </c>
      <c r="I32" s="19">
        <v>0</v>
      </c>
      <c r="J32" s="11" t="str">
        <f>_xlfn.CONCAT(B32:I32)</f>
        <v>01001000</v>
      </c>
      <c r="K32" s="19" t="str">
        <f>BIN2HEX(J32)</f>
        <v>48</v>
      </c>
      <c r="L32" s="12">
        <f>BIN2DEC(J32)</f>
        <v>72</v>
      </c>
    </row>
    <row r="33" spans="1:12" x14ac:dyDescent="0.25">
      <c r="A33" s="10">
        <v>41.7</v>
      </c>
      <c r="B33" s="17">
        <v>0</v>
      </c>
      <c r="C33" s="17">
        <v>1</v>
      </c>
      <c r="D33" s="11">
        <v>0</v>
      </c>
      <c r="E33" s="17">
        <v>1</v>
      </c>
      <c r="F33" s="17">
        <v>1</v>
      </c>
      <c r="G33" s="11">
        <v>0</v>
      </c>
      <c r="H33" s="11">
        <v>0</v>
      </c>
      <c r="I33" s="17">
        <v>0</v>
      </c>
      <c r="J33" s="11" t="str">
        <f t="shared" ref="J33:J36" si="9">_xlfn.CONCAT(B33:I33)</f>
        <v>01011000</v>
      </c>
      <c r="K33" s="17" t="str">
        <f t="shared" ref="K33:K36" si="10">BIN2HEX(J33)</f>
        <v>58</v>
      </c>
      <c r="L33" s="12">
        <f t="shared" ref="L33:L36" si="11">BIN2DEC(J33)</f>
        <v>88</v>
      </c>
    </row>
    <row r="34" spans="1:12" x14ac:dyDescent="0.25">
      <c r="A34" s="10">
        <v>62.5</v>
      </c>
      <c r="B34" s="17">
        <v>0</v>
      </c>
      <c r="C34" s="17">
        <v>1</v>
      </c>
      <c r="D34" s="11">
        <v>1</v>
      </c>
      <c r="E34" s="17">
        <v>0</v>
      </c>
      <c r="F34" s="17">
        <v>1</v>
      </c>
      <c r="G34" s="11">
        <v>0</v>
      </c>
      <c r="H34" s="11">
        <v>0</v>
      </c>
      <c r="I34" s="17">
        <v>0</v>
      </c>
      <c r="J34" s="11" t="str">
        <f t="shared" si="9"/>
        <v>01101000</v>
      </c>
      <c r="K34" s="17" t="str">
        <f t="shared" si="10"/>
        <v>68</v>
      </c>
      <c r="L34" s="12">
        <f t="shared" si="11"/>
        <v>104</v>
      </c>
    </row>
    <row r="35" spans="1:12" x14ac:dyDescent="0.25">
      <c r="A35" s="10">
        <v>125</v>
      </c>
      <c r="B35" s="17">
        <v>0</v>
      </c>
      <c r="C35" s="17">
        <v>1</v>
      </c>
      <c r="D35" s="11">
        <v>1</v>
      </c>
      <c r="E35" s="17">
        <v>1</v>
      </c>
      <c r="F35" s="17">
        <v>1</v>
      </c>
      <c r="G35" s="11">
        <v>0</v>
      </c>
      <c r="H35" s="11">
        <v>0</v>
      </c>
      <c r="I35" s="17">
        <v>0</v>
      </c>
      <c r="J35" s="11" t="str">
        <f t="shared" si="9"/>
        <v>01111000</v>
      </c>
      <c r="K35" s="17" t="str">
        <f t="shared" si="10"/>
        <v>78</v>
      </c>
      <c r="L35" s="12">
        <f t="shared" si="11"/>
        <v>120</v>
      </c>
    </row>
    <row r="36" spans="1:12" ht="15.75" thickBot="1" x14ac:dyDescent="0.3">
      <c r="A36" s="13">
        <v>250</v>
      </c>
      <c r="B36" s="18">
        <v>1</v>
      </c>
      <c r="C36" s="18">
        <v>0</v>
      </c>
      <c r="D36" s="14">
        <v>0</v>
      </c>
      <c r="E36" s="18">
        <v>0</v>
      </c>
      <c r="F36" s="18">
        <v>1</v>
      </c>
      <c r="G36" s="14">
        <v>0</v>
      </c>
      <c r="H36" s="14">
        <v>0</v>
      </c>
      <c r="I36" s="22">
        <v>0</v>
      </c>
      <c r="J36" s="14" t="str">
        <f t="shared" si="9"/>
        <v>10001000</v>
      </c>
      <c r="K36" s="18" t="str">
        <f t="shared" si="10"/>
        <v>88</v>
      </c>
      <c r="L36" s="15">
        <f t="shared" si="11"/>
        <v>136</v>
      </c>
    </row>
  </sheetData>
  <mergeCells count="8">
    <mergeCell ref="B21:E21"/>
    <mergeCell ref="F21:H21"/>
    <mergeCell ref="B30:E30"/>
    <mergeCell ref="F30:H30"/>
    <mergeCell ref="F3:H3"/>
    <mergeCell ref="B3:E3"/>
    <mergeCell ref="B12:E12"/>
    <mergeCell ref="F12:H12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64EC-F56B-499A-84D6-9DF9B05C69E9}">
  <dimension ref="A1"/>
  <sheetViews>
    <sheetView workbookViewId="0">
      <selection activeCell="T72" sqref="T7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 0x1E</vt:lpstr>
      <vt:lpstr>Register 0x1d</vt:lpstr>
      <vt:lpstr>LoRaModem Specs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A.Luis Guerrero</dc:creator>
  <cp:lastModifiedBy>A.Luis Guerrero</cp:lastModifiedBy>
  <dcterms:created xsi:type="dcterms:W3CDTF">2021-04-10T19:30:23Z</dcterms:created>
  <dcterms:modified xsi:type="dcterms:W3CDTF">2021-04-11T14:13:19Z</dcterms:modified>
</cp:coreProperties>
</file>